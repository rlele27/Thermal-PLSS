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ris\Documents\GIT\Personal\UNI\Projects\Metabolic Profile\"/>
    </mc:Choice>
  </mc:AlternateContent>
  <xr:revisionPtr revIDLastSave="0" documentId="13_ncr:1_{E7783331-5E7B-4D4C-BCC5-C10647A4F371}" xr6:coauthVersionLast="47" xr6:coauthVersionMax="47" xr10:uidLastSave="{00000000-0000-0000-0000-000000000000}"/>
  <bookViews>
    <workbookView xWindow="-28920" yWindow="9915" windowWidth="29040" windowHeight="18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8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<sst xmlns="http://schemas.openxmlformats.org/spreadsheetml/2006/main" count="53" uniqueCount="22">
  <si>
    <t>Table 1. Updated metabolic profile for an 82kg astronaut exercising 90 minutes a day</t>
  </si>
  <si>
    <t>Start time
(hrs)</t>
  </si>
  <si>
    <t>End time
(hrs)</t>
  </si>
  <si>
    <t>Duration
(hrs)</t>
  </si>
  <si>
    <t>Activity</t>
  </si>
  <si>
    <t>Metabolic rate
(kJ/hr)</t>
  </si>
  <si>
    <t>Sensible heat
(kJ/hr)</t>
  </si>
  <si>
    <t>Total Latent Heat
(kJ/hr)</t>
  </si>
  <si>
    <t>Water Vapor
Output (g/min)</t>
  </si>
  <si>
    <t>Sweat Output
(g/min)</t>
  </si>
  <si>
    <t>O₂ Consumption
(g/min)</t>
  </si>
  <si>
    <t>CO₂ Output
(g/min)</t>
  </si>
  <si>
    <t>Nominal</t>
  </si>
  <si>
    <t>Exercise - Aerobic</t>
  </si>
  <si>
    <t>Exercise - Resistance</t>
  </si>
  <si>
    <t>Recovery 0-15</t>
  </si>
  <si>
    <t>Recovery 15-30</t>
  </si>
  <si>
    <t>Recovery 30-45</t>
  </si>
  <si>
    <t>Recovery 45-60</t>
  </si>
  <si>
    <t>kJ</t>
  </si>
  <si>
    <t>kg</t>
  </si>
  <si>
    <t>Daily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</si>
</sst>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55555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showGridLines="0" tabSelected="1" workbookViewId="0">
      <pane ySplit="3" topLeftCell="A15" activePane="bottomLeft" state="frozen"/>
      <selection pane="bottomLeft" activeCell="D37" sqref="D37"/>
    </sheetView>
  </sheetViews>
  <sheetFormatPr defaultRowHeight="15" x14ac:dyDescent="0.25"/>
  <cols>
    <col min="1" max="3" width="10" customWidth="1"/>
    <col min="4" max="4" width="25" customWidth="1"/>
    <col min="5" max="6" width="16" customWidth="1"/>
    <col min="7" max="8" width="18" customWidth="1"/>
    <col min="9" max="9" width="13" customWidth="1"/>
    <col min="10" max="10" width="16" customWidth="1"/>
    <col min="11" max="11" width="13" customWidth="1"/>
  </cols>
  <sheetData>
    <row r="1" spans="1:11" ht="30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57.95" customHeight="1" x14ac:dyDescent="0.25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20.100000000000001" customHeight="1" x14ac:dyDescent="0.25">
      <c r="A4" s="5">
        <v>0</v>
      </c>
      <c r="B4" s="5">
        <v>0.25</v>
      </c>
      <c r="C4" s="5">
        <f t="shared" ref="C4:C35" si="0">B4-A4</f>
        <v>0.25</v>
      </c>
      <c r="D4" s="4" t="s">
        <v>12</v>
      </c>
      <c r="E4" s="6">
        <v>500</v>
      </c>
      <c r="F4" s="7">
        <v>310.8</v>
      </c>
      <c r="G4" s="7">
        <v>216.8</v>
      </c>
      <c r="H4" s="5">
        <v>1.49</v>
      </c>
      <c r="I4" s="5">
        <v>0</v>
      </c>
      <c r="J4" s="5">
        <v>0.59</v>
      </c>
      <c r="K4" s="5">
        <v>0.69</v>
      </c>
    </row>
    <row r="5" spans="1:11" ht="20.100000000000001" customHeight="1" x14ac:dyDescent="0.25">
      <c r="A5" s="5">
        <v>0.25</v>
      </c>
      <c r="B5" s="5">
        <v>0.5</v>
      </c>
      <c r="C5" s="5">
        <f t="shared" si="0"/>
        <v>0.25</v>
      </c>
      <c r="D5" s="4" t="s">
        <v>13</v>
      </c>
      <c r="E5" s="6">
        <v>3487</v>
      </c>
      <c r="F5" s="7">
        <v>475.5</v>
      </c>
      <c r="G5" s="7">
        <v>1033.8</v>
      </c>
      <c r="H5" s="5">
        <v>7.09</v>
      </c>
      <c r="I5" s="5">
        <v>1.55</v>
      </c>
      <c r="J5" s="5">
        <v>3.99</v>
      </c>
      <c r="K5" s="5">
        <v>5.22</v>
      </c>
    </row>
    <row r="6" spans="1:11" ht="20.100000000000001" customHeight="1" x14ac:dyDescent="0.25">
      <c r="A6" s="5">
        <v>0.5</v>
      </c>
      <c r="B6" s="5">
        <v>0.75</v>
      </c>
      <c r="C6" s="5">
        <f t="shared" si="0"/>
        <v>0.25</v>
      </c>
      <c r="D6" s="4" t="s">
        <v>13</v>
      </c>
      <c r="E6" s="6">
        <v>3487</v>
      </c>
      <c r="F6" s="7">
        <v>453</v>
      </c>
      <c r="G6" s="7">
        <v>1958.6</v>
      </c>
      <c r="H6" s="5">
        <v>13.44</v>
      </c>
      <c r="I6" s="5">
        <v>13.63</v>
      </c>
      <c r="J6" s="5">
        <v>3.99</v>
      </c>
      <c r="K6" s="5">
        <v>5.22</v>
      </c>
    </row>
    <row r="7" spans="1:11" ht="20.100000000000001" customHeight="1" x14ac:dyDescent="0.25">
      <c r="A7" s="5">
        <v>0.75</v>
      </c>
      <c r="B7" s="5">
        <v>1</v>
      </c>
      <c r="C7" s="5">
        <f t="shared" si="0"/>
        <v>0.25</v>
      </c>
      <c r="D7" s="4" t="s">
        <v>14</v>
      </c>
      <c r="E7" s="6">
        <v>1251</v>
      </c>
      <c r="F7" s="7">
        <v>407.2</v>
      </c>
      <c r="G7" s="7">
        <v>1704.6</v>
      </c>
      <c r="H7" s="5">
        <v>11.7</v>
      </c>
      <c r="I7" s="5">
        <v>14.44</v>
      </c>
      <c r="J7" s="5">
        <v>1.43</v>
      </c>
      <c r="K7" s="5">
        <v>1.89</v>
      </c>
    </row>
    <row r="8" spans="1:11" ht="20.100000000000001" customHeight="1" x14ac:dyDescent="0.25">
      <c r="A8" s="5">
        <v>1</v>
      </c>
      <c r="B8" s="5">
        <v>1.25</v>
      </c>
      <c r="C8" s="5">
        <f t="shared" si="0"/>
        <v>0.25</v>
      </c>
      <c r="D8" s="4" t="s">
        <v>14</v>
      </c>
      <c r="E8" s="6">
        <v>1251</v>
      </c>
      <c r="F8" s="7">
        <v>334.4</v>
      </c>
      <c r="G8" s="7">
        <v>1274.5</v>
      </c>
      <c r="H8" s="5">
        <v>8.73</v>
      </c>
      <c r="I8" s="5">
        <v>2.77</v>
      </c>
      <c r="J8" s="5">
        <v>1.43</v>
      </c>
      <c r="K8" s="5">
        <v>1.89</v>
      </c>
    </row>
    <row r="9" spans="1:11" ht="20.100000000000001" customHeight="1" x14ac:dyDescent="0.25">
      <c r="A9" s="5">
        <v>1.25</v>
      </c>
      <c r="B9" s="5">
        <v>1.5</v>
      </c>
      <c r="C9" s="5">
        <f t="shared" si="0"/>
        <v>0.25</v>
      </c>
      <c r="D9" s="4" t="s">
        <v>14</v>
      </c>
      <c r="E9" s="6">
        <v>1251</v>
      </c>
      <c r="F9" s="7">
        <v>323.3</v>
      </c>
      <c r="G9" s="7">
        <v>991.5</v>
      </c>
      <c r="H9" s="5">
        <v>6.79</v>
      </c>
      <c r="I9" s="5">
        <v>0.89</v>
      </c>
      <c r="J9" s="5">
        <v>1.43</v>
      </c>
      <c r="K9" s="5">
        <v>1.89</v>
      </c>
    </row>
    <row r="10" spans="1:11" ht="20.100000000000001" customHeight="1" x14ac:dyDescent="0.25">
      <c r="A10" s="5">
        <v>1.5</v>
      </c>
      <c r="B10" s="5">
        <v>1.75</v>
      </c>
      <c r="C10" s="5">
        <f t="shared" si="0"/>
        <v>0.25</v>
      </c>
      <c r="D10" s="4" t="s">
        <v>14</v>
      </c>
      <c r="E10" s="6">
        <v>1251</v>
      </c>
      <c r="F10" s="7">
        <v>327.3</v>
      </c>
      <c r="G10" s="7">
        <v>875.1</v>
      </c>
      <c r="H10" s="5">
        <v>5.99</v>
      </c>
      <c r="I10" s="5">
        <v>0.49</v>
      </c>
      <c r="J10" s="5">
        <v>1.43</v>
      </c>
      <c r="K10" s="5">
        <v>1.89</v>
      </c>
    </row>
    <row r="11" spans="1:11" ht="20.100000000000001" customHeight="1" x14ac:dyDescent="0.25">
      <c r="A11" s="5">
        <v>1.75</v>
      </c>
      <c r="B11" s="5">
        <v>2</v>
      </c>
      <c r="C11" s="5">
        <f t="shared" si="0"/>
        <v>0.25</v>
      </c>
      <c r="D11" s="4" t="s">
        <v>15</v>
      </c>
      <c r="E11" s="6">
        <v>500</v>
      </c>
      <c r="F11" s="7">
        <v>275.39999999999998</v>
      </c>
      <c r="G11" s="7">
        <v>343.9</v>
      </c>
      <c r="H11" s="5">
        <v>2.36</v>
      </c>
      <c r="I11" s="5">
        <v>0</v>
      </c>
      <c r="J11" s="5">
        <v>0.59</v>
      </c>
      <c r="K11" s="5">
        <v>0.69</v>
      </c>
    </row>
    <row r="12" spans="1:11" ht="20.100000000000001" customHeight="1" x14ac:dyDescent="0.25">
      <c r="A12" s="5">
        <v>2</v>
      </c>
      <c r="B12" s="5">
        <v>2.25</v>
      </c>
      <c r="C12" s="5">
        <f t="shared" si="0"/>
        <v>0.25</v>
      </c>
      <c r="D12" s="4" t="s">
        <v>16</v>
      </c>
      <c r="E12" s="6">
        <v>500</v>
      </c>
      <c r="F12" s="7">
        <v>296.10000000000002</v>
      </c>
      <c r="G12" s="7">
        <v>291.3</v>
      </c>
      <c r="H12" s="5">
        <v>2</v>
      </c>
      <c r="I12" s="5">
        <v>0</v>
      </c>
      <c r="J12" s="5">
        <v>0.59</v>
      </c>
      <c r="K12" s="5">
        <v>0.69</v>
      </c>
    </row>
    <row r="13" spans="1:11" ht="20.100000000000001" customHeight="1" x14ac:dyDescent="0.25">
      <c r="A13" s="5">
        <v>2.25</v>
      </c>
      <c r="B13" s="5">
        <v>2.5</v>
      </c>
      <c r="C13" s="5">
        <f t="shared" si="0"/>
        <v>0.25</v>
      </c>
      <c r="D13" s="4" t="s">
        <v>17</v>
      </c>
      <c r="E13" s="6">
        <v>500</v>
      </c>
      <c r="F13" s="7">
        <v>300.39999999999998</v>
      </c>
      <c r="G13" s="7">
        <v>253.5</v>
      </c>
      <c r="H13" s="5">
        <v>1.74</v>
      </c>
      <c r="I13" s="5">
        <v>0</v>
      </c>
      <c r="J13" s="5">
        <v>0.59</v>
      </c>
      <c r="K13" s="5">
        <v>0.69</v>
      </c>
    </row>
    <row r="14" spans="1:11" ht="20.100000000000001" customHeight="1" x14ac:dyDescent="0.25">
      <c r="A14" s="5">
        <v>2.5</v>
      </c>
      <c r="B14" s="5">
        <v>2.75</v>
      </c>
      <c r="C14" s="5">
        <f t="shared" si="0"/>
        <v>0.25</v>
      </c>
      <c r="D14" s="4" t="s">
        <v>18</v>
      </c>
      <c r="E14" s="6">
        <v>500</v>
      </c>
      <c r="F14" s="7">
        <v>302.39999999999998</v>
      </c>
      <c r="G14" s="7">
        <v>232.2</v>
      </c>
      <c r="H14" s="5">
        <v>1.59</v>
      </c>
      <c r="I14" s="5">
        <v>0</v>
      </c>
      <c r="J14" s="5">
        <v>0.59</v>
      </c>
      <c r="K14" s="5">
        <v>0.69</v>
      </c>
    </row>
    <row r="15" spans="1:11" ht="20.100000000000001" customHeight="1" x14ac:dyDescent="0.25">
      <c r="A15" s="5">
        <v>2.75</v>
      </c>
      <c r="B15" s="5">
        <v>3</v>
      </c>
      <c r="C15" s="5">
        <f t="shared" si="0"/>
        <v>0.25</v>
      </c>
      <c r="D15" s="4" t="s">
        <v>12</v>
      </c>
      <c r="E15" s="6">
        <v>500</v>
      </c>
      <c r="F15" s="7">
        <v>303.7</v>
      </c>
      <c r="G15" s="7">
        <v>218.7</v>
      </c>
      <c r="H15" s="5">
        <v>1.5</v>
      </c>
      <c r="I15" s="5">
        <v>0</v>
      </c>
      <c r="J15" s="5">
        <v>0.59</v>
      </c>
      <c r="K15" s="5">
        <v>0.69</v>
      </c>
    </row>
    <row r="16" spans="1:11" ht="20.100000000000001" customHeight="1" x14ac:dyDescent="0.25">
      <c r="A16" s="5">
        <v>3</v>
      </c>
      <c r="B16" s="5">
        <v>3.25</v>
      </c>
      <c r="C16" s="5">
        <f t="shared" si="0"/>
        <v>0.25</v>
      </c>
      <c r="D16" s="4" t="s">
        <v>12</v>
      </c>
      <c r="E16" s="6">
        <v>500</v>
      </c>
      <c r="F16" s="7">
        <v>304.5</v>
      </c>
      <c r="G16" s="7">
        <v>210</v>
      </c>
      <c r="H16" s="5">
        <v>1.44</v>
      </c>
      <c r="I16" s="5">
        <v>0</v>
      </c>
      <c r="J16" s="5">
        <v>0.59</v>
      </c>
      <c r="K16" s="5">
        <v>0.69</v>
      </c>
    </row>
    <row r="17" spans="1:11" ht="20.100000000000001" customHeight="1" x14ac:dyDescent="0.25">
      <c r="A17" s="5">
        <v>3.25</v>
      </c>
      <c r="B17" s="5">
        <v>3.5</v>
      </c>
      <c r="C17" s="5">
        <f t="shared" si="0"/>
        <v>0.25</v>
      </c>
      <c r="D17" s="4" t="s">
        <v>12</v>
      </c>
      <c r="E17" s="6">
        <v>500</v>
      </c>
      <c r="F17" s="7">
        <v>305.10000000000002</v>
      </c>
      <c r="G17" s="7">
        <v>204.3</v>
      </c>
      <c r="H17" s="5">
        <v>1.4</v>
      </c>
      <c r="I17" s="5">
        <v>0</v>
      </c>
      <c r="J17" s="5">
        <v>0.59</v>
      </c>
      <c r="K17" s="5">
        <v>0.69</v>
      </c>
    </row>
    <row r="18" spans="1:11" ht="20.100000000000001" customHeight="1" x14ac:dyDescent="0.25">
      <c r="A18" s="5">
        <v>3.5</v>
      </c>
      <c r="B18" s="5">
        <v>3.75</v>
      </c>
      <c r="C18" s="5">
        <f t="shared" si="0"/>
        <v>0.25</v>
      </c>
      <c r="D18" s="4" t="s">
        <v>12</v>
      </c>
      <c r="E18" s="6">
        <v>500</v>
      </c>
      <c r="F18" s="7">
        <v>305.5</v>
      </c>
      <c r="G18" s="7">
        <v>200.5</v>
      </c>
      <c r="H18" s="5">
        <v>1.38</v>
      </c>
      <c r="I18" s="5">
        <v>0</v>
      </c>
      <c r="J18" s="5">
        <v>0.59</v>
      </c>
      <c r="K18" s="5">
        <v>0.69</v>
      </c>
    </row>
    <row r="19" spans="1:11" ht="20.100000000000001" customHeight="1" x14ac:dyDescent="0.25">
      <c r="A19" s="5">
        <v>3.75</v>
      </c>
      <c r="B19" s="5">
        <v>4</v>
      </c>
      <c r="C19" s="5">
        <f t="shared" si="0"/>
        <v>0.25</v>
      </c>
      <c r="D19" s="4" t="s">
        <v>12</v>
      </c>
      <c r="E19" s="6">
        <v>500</v>
      </c>
      <c r="F19" s="7">
        <v>305.8</v>
      </c>
      <c r="G19" s="7">
        <v>198.1</v>
      </c>
      <c r="H19" s="5">
        <v>1.36</v>
      </c>
      <c r="I19" s="5">
        <v>0</v>
      </c>
      <c r="J19" s="5">
        <v>0.59</v>
      </c>
      <c r="K19" s="5">
        <v>0.69</v>
      </c>
    </row>
    <row r="20" spans="1:11" ht="20.100000000000001" customHeight="1" x14ac:dyDescent="0.25">
      <c r="A20" s="5">
        <v>4</v>
      </c>
      <c r="B20" s="5">
        <v>4.25</v>
      </c>
      <c r="C20" s="5">
        <f t="shared" si="0"/>
        <v>0.25</v>
      </c>
      <c r="D20" s="4" t="s">
        <v>12</v>
      </c>
      <c r="E20" s="6">
        <v>500</v>
      </c>
      <c r="F20" s="7">
        <v>306</v>
      </c>
      <c r="G20" s="7">
        <v>196.5</v>
      </c>
      <c r="H20" s="5">
        <v>1.35</v>
      </c>
      <c r="I20" s="5">
        <v>0</v>
      </c>
      <c r="J20" s="5">
        <v>0.59</v>
      </c>
      <c r="K20" s="5">
        <v>0.69</v>
      </c>
    </row>
    <row r="21" spans="1:11" ht="20.100000000000001" customHeight="1" x14ac:dyDescent="0.25">
      <c r="A21" s="5">
        <v>4.25</v>
      </c>
      <c r="B21" s="5">
        <v>4.5</v>
      </c>
      <c r="C21" s="5">
        <f t="shared" si="0"/>
        <v>0.25</v>
      </c>
      <c r="D21" s="4" t="s">
        <v>12</v>
      </c>
      <c r="E21" s="6">
        <v>500</v>
      </c>
      <c r="F21" s="7">
        <v>306.10000000000002</v>
      </c>
      <c r="G21" s="7">
        <v>195.5</v>
      </c>
      <c r="H21" s="5">
        <v>1.34</v>
      </c>
      <c r="I21" s="5">
        <v>0</v>
      </c>
      <c r="J21" s="5">
        <v>0.59</v>
      </c>
      <c r="K21" s="5">
        <v>0.69</v>
      </c>
    </row>
    <row r="22" spans="1:11" ht="20.100000000000001" customHeight="1" x14ac:dyDescent="0.25">
      <c r="A22" s="5">
        <v>4.5</v>
      </c>
      <c r="B22" s="5">
        <v>4.75</v>
      </c>
      <c r="C22" s="5">
        <f t="shared" si="0"/>
        <v>0.25</v>
      </c>
      <c r="D22" s="4" t="s">
        <v>12</v>
      </c>
      <c r="E22" s="6">
        <v>500</v>
      </c>
      <c r="F22" s="7">
        <v>306.2</v>
      </c>
      <c r="G22" s="7">
        <v>194.8</v>
      </c>
      <c r="H22" s="5">
        <v>1.34</v>
      </c>
      <c r="I22" s="5">
        <v>0</v>
      </c>
      <c r="J22" s="5">
        <v>0.59</v>
      </c>
      <c r="K22" s="5">
        <v>0.69</v>
      </c>
    </row>
    <row r="23" spans="1:11" ht="20.100000000000001" customHeight="1" x14ac:dyDescent="0.25">
      <c r="A23" s="5">
        <v>4.75</v>
      </c>
      <c r="B23" s="5">
        <v>5</v>
      </c>
      <c r="C23" s="5">
        <f t="shared" si="0"/>
        <v>0.25</v>
      </c>
      <c r="D23" s="4" t="s">
        <v>12</v>
      </c>
      <c r="E23" s="6">
        <v>500</v>
      </c>
      <c r="F23" s="7">
        <v>306.2</v>
      </c>
      <c r="G23" s="7">
        <v>194.4</v>
      </c>
      <c r="H23" s="5">
        <v>1.34</v>
      </c>
      <c r="I23" s="5">
        <v>0</v>
      </c>
      <c r="J23" s="5">
        <v>0.59</v>
      </c>
      <c r="K23" s="5">
        <v>0.69</v>
      </c>
    </row>
    <row r="24" spans="1:11" ht="20.100000000000001" customHeight="1" x14ac:dyDescent="0.25">
      <c r="A24" s="5">
        <v>5</v>
      </c>
      <c r="B24" s="5">
        <v>5.25</v>
      </c>
      <c r="C24" s="5">
        <f t="shared" si="0"/>
        <v>0.25</v>
      </c>
      <c r="D24" s="4" t="s">
        <v>12</v>
      </c>
      <c r="E24" s="6">
        <v>500</v>
      </c>
      <c r="F24" s="7">
        <v>306.3</v>
      </c>
      <c r="G24" s="7">
        <v>194.2</v>
      </c>
      <c r="H24" s="5">
        <v>1.33</v>
      </c>
      <c r="I24" s="5">
        <v>0</v>
      </c>
      <c r="J24" s="5">
        <v>0.59</v>
      </c>
      <c r="K24" s="5">
        <v>0.69</v>
      </c>
    </row>
    <row r="25" spans="1:11" ht="20.100000000000001" customHeight="1" x14ac:dyDescent="0.25">
      <c r="A25" s="5">
        <v>5.25</v>
      </c>
      <c r="B25" s="5">
        <v>5.5</v>
      </c>
      <c r="C25" s="5">
        <f t="shared" si="0"/>
        <v>0.25</v>
      </c>
      <c r="D25" s="4" t="s">
        <v>12</v>
      </c>
      <c r="E25" s="6">
        <v>500</v>
      </c>
      <c r="F25" s="7">
        <v>306.3</v>
      </c>
      <c r="G25" s="7">
        <v>194</v>
      </c>
      <c r="H25" s="5">
        <v>1.33</v>
      </c>
      <c r="I25" s="5">
        <v>0</v>
      </c>
      <c r="J25" s="5">
        <v>0.59</v>
      </c>
      <c r="K25" s="5">
        <v>0.69</v>
      </c>
    </row>
    <row r="26" spans="1:11" ht="20.100000000000001" customHeight="1" x14ac:dyDescent="0.25">
      <c r="A26" s="5">
        <v>5.5</v>
      </c>
      <c r="B26" s="5">
        <v>5.75</v>
      </c>
      <c r="C26" s="5">
        <f t="shared" si="0"/>
        <v>0.25</v>
      </c>
      <c r="D26" s="4" t="s">
        <v>12</v>
      </c>
      <c r="E26" s="6">
        <v>500</v>
      </c>
      <c r="F26" s="7">
        <v>306.3</v>
      </c>
      <c r="G26" s="7">
        <v>193.9</v>
      </c>
      <c r="H26" s="5">
        <v>1.33</v>
      </c>
      <c r="I26" s="5">
        <v>0</v>
      </c>
      <c r="J26" s="5">
        <v>0.59</v>
      </c>
      <c r="K26" s="5">
        <v>0.69</v>
      </c>
    </row>
    <row r="27" spans="1:11" ht="20.100000000000001" customHeight="1" x14ac:dyDescent="0.25">
      <c r="A27" s="5">
        <v>5.75</v>
      </c>
      <c r="B27" s="5">
        <v>6</v>
      </c>
      <c r="C27" s="5">
        <f t="shared" si="0"/>
        <v>0.25</v>
      </c>
      <c r="D27" s="4" t="s">
        <v>12</v>
      </c>
      <c r="E27" s="6">
        <v>500</v>
      </c>
      <c r="F27" s="7">
        <v>306.39999999999998</v>
      </c>
      <c r="G27" s="7">
        <v>193.9</v>
      </c>
      <c r="H27" s="5">
        <v>1.33</v>
      </c>
      <c r="I27" s="5">
        <v>0</v>
      </c>
      <c r="J27" s="5">
        <v>0.59</v>
      </c>
      <c r="K27" s="5">
        <v>0.69</v>
      </c>
    </row>
    <row r="28" spans="1:11" ht="20.100000000000001" customHeight="1" x14ac:dyDescent="0.25">
      <c r="A28" s="5">
        <v>6</v>
      </c>
      <c r="B28" s="5">
        <v>6.25</v>
      </c>
      <c r="C28" s="5">
        <f t="shared" si="0"/>
        <v>0.25</v>
      </c>
      <c r="D28" s="4" t="s">
        <v>12</v>
      </c>
      <c r="E28" s="6">
        <v>500</v>
      </c>
      <c r="F28" s="7">
        <v>306.39999999999998</v>
      </c>
      <c r="G28" s="7">
        <v>193.9</v>
      </c>
      <c r="H28" s="5">
        <v>1.33</v>
      </c>
      <c r="I28" s="5">
        <v>0</v>
      </c>
      <c r="J28" s="5">
        <v>0.59</v>
      </c>
      <c r="K28" s="5">
        <v>0.69</v>
      </c>
    </row>
    <row r="29" spans="1:11" ht="20.100000000000001" customHeight="1" x14ac:dyDescent="0.25">
      <c r="A29" s="5">
        <v>6.25</v>
      </c>
      <c r="B29" s="5">
        <v>6.5</v>
      </c>
      <c r="C29" s="5">
        <f t="shared" si="0"/>
        <v>0.25</v>
      </c>
      <c r="D29" s="4" t="s">
        <v>12</v>
      </c>
      <c r="E29" s="6">
        <v>500</v>
      </c>
      <c r="F29" s="7">
        <v>306.39999999999998</v>
      </c>
      <c r="G29" s="7">
        <v>193.9</v>
      </c>
      <c r="H29" s="5">
        <v>1.33</v>
      </c>
      <c r="I29" s="5">
        <v>0</v>
      </c>
      <c r="J29" s="5">
        <v>0.59</v>
      </c>
      <c r="K29" s="5">
        <v>0.69</v>
      </c>
    </row>
    <row r="30" spans="1:11" ht="20.100000000000001" customHeight="1" x14ac:dyDescent="0.25">
      <c r="A30" s="5">
        <v>6.5</v>
      </c>
      <c r="B30" s="5">
        <v>6.75</v>
      </c>
      <c r="C30" s="5">
        <f t="shared" si="0"/>
        <v>0.25</v>
      </c>
      <c r="D30" s="4" t="s">
        <v>12</v>
      </c>
      <c r="E30" s="6">
        <v>500</v>
      </c>
      <c r="F30" s="7">
        <v>306.39999999999998</v>
      </c>
      <c r="G30" s="7">
        <v>193.9</v>
      </c>
      <c r="H30" s="5">
        <v>1.33</v>
      </c>
      <c r="I30" s="5">
        <v>0</v>
      </c>
      <c r="J30" s="5">
        <v>0.59</v>
      </c>
      <c r="K30" s="5">
        <v>0.69</v>
      </c>
    </row>
    <row r="31" spans="1:11" ht="20.100000000000001" customHeight="1" x14ac:dyDescent="0.25">
      <c r="A31" s="5">
        <v>6.75</v>
      </c>
      <c r="B31" s="5">
        <v>7</v>
      </c>
      <c r="C31" s="5">
        <f t="shared" si="0"/>
        <v>0.25</v>
      </c>
      <c r="D31" s="4" t="s">
        <v>12</v>
      </c>
      <c r="E31" s="6">
        <v>500</v>
      </c>
      <c r="F31" s="7">
        <v>306.39999999999998</v>
      </c>
      <c r="G31" s="7">
        <v>193.9</v>
      </c>
      <c r="H31" s="5">
        <v>1.33</v>
      </c>
      <c r="I31" s="5">
        <v>0</v>
      </c>
      <c r="J31" s="5">
        <v>0.59</v>
      </c>
      <c r="K31" s="5">
        <v>0.69</v>
      </c>
    </row>
    <row r="32" spans="1:11" ht="20.100000000000001" customHeight="1" x14ac:dyDescent="0.25">
      <c r="A32" s="5">
        <v>7</v>
      </c>
      <c r="B32" s="5">
        <v>7.25</v>
      </c>
      <c r="C32" s="5">
        <f t="shared" si="0"/>
        <v>0.25</v>
      </c>
      <c r="D32" s="4" t="s">
        <v>12</v>
      </c>
      <c r="E32" s="6">
        <v>500</v>
      </c>
      <c r="F32" s="7">
        <v>306.39999999999998</v>
      </c>
      <c r="G32" s="7">
        <v>193.9</v>
      </c>
      <c r="H32" s="5">
        <v>1.33</v>
      </c>
      <c r="I32" s="5">
        <v>0</v>
      </c>
      <c r="J32" s="5">
        <v>0.59</v>
      </c>
      <c r="K32" s="5">
        <v>0.69</v>
      </c>
    </row>
    <row r="33" spans="1:11" ht="20.100000000000001" customHeight="1" x14ac:dyDescent="0.25">
      <c r="A33" s="5">
        <v>7.25</v>
      </c>
      <c r="B33" s="5">
        <v>7.5</v>
      </c>
      <c r="C33" s="5">
        <f t="shared" si="0"/>
        <v>0.25</v>
      </c>
      <c r="D33" s="4" t="s">
        <v>12</v>
      </c>
      <c r="E33" s="6">
        <v>500</v>
      </c>
      <c r="F33" s="7">
        <v>306.39999999999998</v>
      </c>
      <c r="G33" s="7">
        <v>193.9</v>
      </c>
      <c r="H33" s="5">
        <v>1.33</v>
      </c>
      <c r="I33" s="5">
        <v>0</v>
      </c>
      <c r="J33" s="5">
        <v>0.59</v>
      </c>
      <c r="K33" s="5">
        <v>0.69</v>
      </c>
    </row>
    <row r="34" spans="1:11" ht="20.100000000000001" customHeight="1" x14ac:dyDescent="0.25">
      <c r="A34" s="5">
        <v>7.5</v>
      </c>
      <c r="B34" s="5">
        <v>7.75</v>
      </c>
      <c r="C34" s="5">
        <f t="shared" si="0"/>
        <v>0.25</v>
      </c>
      <c r="D34" s="4" t="s">
        <v>12</v>
      </c>
      <c r="E34" s="6">
        <v>500</v>
      </c>
      <c r="F34" s="7">
        <v>306.39999999999998</v>
      </c>
      <c r="G34" s="7">
        <v>193.9</v>
      </c>
      <c r="H34" s="5">
        <v>1.33</v>
      </c>
      <c r="I34" s="5">
        <v>0</v>
      </c>
      <c r="J34" s="5">
        <v>0.59</v>
      </c>
      <c r="K34" s="5">
        <v>0.69</v>
      </c>
    </row>
    <row r="35" spans="1:11" ht="20.100000000000001" customHeight="1" x14ac:dyDescent="0.25">
      <c r="A35" s="5">
        <v>7.75</v>
      </c>
      <c r="B35" s="5">
        <v>8</v>
      </c>
      <c r="C35" s="5">
        <f t="shared" si="0"/>
        <v>0.25</v>
      </c>
      <c r="D35" s="4" t="s">
        <v>12</v>
      </c>
      <c r="E35" s="6">
        <v>500</v>
      </c>
      <c r="F35" s="7">
        <v>306.39999999999998</v>
      </c>
      <c r="G35" s="7">
        <v>193.9</v>
      </c>
      <c r="H35" s="5">
        <v>1.33</v>
      </c>
      <c r="I35" s="5">
        <v>0</v>
      </c>
      <c r="J35" s="5">
        <v>0.59</v>
      </c>
      <c r="K35" s="5">
        <v>0.69</v>
      </c>
    </row>
    <row r="36" spans="1:11" x14ac:dyDescent="0.25">
      <c r="A36" s="5">
        <v>8</v>
      </c>
      <c r="B36" s="5">
        <v>16</v>
      </c>
      <c r="C36" s="5">
        <f t="shared" ref="C36" si="1">B36-A36</f>
        <v>8</v>
      </c>
      <c r="D36" s="4" t="s">
        <v>12</v>
      </c>
      <c r="E36" s="6">
        <v>500</v>
      </c>
      <c r="F36" s="7">
        <v>306.39999999999998</v>
      </c>
      <c r="G36" s="7">
        <v>193.9</v>
      </c>
      <c r="H36" s="5">
        <v>1.33</v>
      </c>
      <c r="I36" s="5">
        <v>0</v>
      </c>
      <c r="J36" s="5">
        <v>0.59</v>
      </c>
      <c r="K36" s="5">
        <v>0.69</v>
      </c>
    </row>
    <row r="37" spans="1:11" x14ac:dyDescent="0.25">
      <c r="A37" s="8"/>
      <c r="B37" s="8"/>
      <c r="C37" s="8"/>
      <c r="D37" s="9"/>
      <c r="E37" s="10" t="s">
        <v>19</v>
      </c>
      <c r="F37" s="9" t="s">
        <v>19</v>
      </c>
      <c r="G37" s="9" t="s">
        <v>19</v>
      </c>
      <c r="H37" s="8" t="s">
        <v>20</v>
      </c>
      <c r="I37" s="8" t="s">
        <v>20</v>
      </c>
      <c r="J37" s="8" t="s">
        <v>20</v>
      </c>
      <c r="K37" s="8" t="s">
        <v>20</v>
      </c>
    </row>
    <row r="38" spans="1:11" x14ac:dyDescent="0.25">
      <c r="A38" s="11" t="s">
        <v>21</v>
      </c>
      <c r="B38" s="8"/>
      <c r="C38" s="8">
        <f>SUM(C4:C35)</f>
        <v>8</v>
      </c>
      <c r="D38" s="9"/>
      <c r="E38" s="10">
        <v>12778</v>
      </c>
      <c r="F38" s="10">
        <v>6288</v>
      </c>
      <c r="G38" s="10">
        <v>6134</v>
      </c>
      <c r="H38" s="8">
        <v>2.5299999999999998</v>
      </c>
      <c r="I38" s="8">
        <v>0.51</v>
      </c>
      <c r="J38" s="8">
        <v>0.89</v>
      </c>
      <c r="K38" s="8">
        <v>1.08</v>
      </c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</sheetData>
  <mergeCells count="3">
    <mergeCell ref="A1:K1"/>
    <mergeCell ref="A40:K40"/>
    <mergeCell ref="A41:K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hattingh</cp:lastModifiedBy>
  <dcterms:modified xsi:type="dcterms:W3CDTF">2026-10-19T17:01:13Z</dcterms:modified>
</cp:coreProperties>
</file>